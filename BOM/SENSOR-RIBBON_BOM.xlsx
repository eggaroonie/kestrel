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4a798ab2b465cd/Documents/WWU/Capstone_Project/Kestrel/BOM/"/>
    </mc:Choice>
  </mc:AlternateContent>
  <xr:revisionPtr revIDLastSave="286" documentId="11_0E7A713F69ABD186D3302520C0BF4576E27787FA" xr6:coauthVersionLast="47" xr6:coauthVersionMax="47" xr10:uidLastSave="{37F0F7CF-F26B-4668-AF85-7E32F07B913C}"/>
  <bookViews>
    <workbookView xWindow="-110" yWindow="-110" windowWidth="22780" windowHeight="15260" xr2:uid="{00000000-000D-0000-FFFF-FFFF00000000}"/>
  </bookViews>
  <sheets>
    <sheet name="FMC-RIBBON BOM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3" i="1"/>
  <c r="K4" i="1"/>
  <c r="K5" i="1"/>
  <c r="K6" i="1"/>
  <c r="K7" i="1"/>
  <c r="K8" i="1"/>
  <c r="K9" i="1"/>
  <c r="K10" i="1"/>
  <c r="K2" i="1"/>
  <c r="B17" i="1" l="1"/>
</calcChain>
</file>

<file path=xl/sharedStrings.xml><?xml version="1.0" encoding="utf-8"?>
<sst xmlns="http://schemas.openxmlformats.org/spreadsheetml/2006/main" count="86" uniqueCount="74">
  <si>
    <t>Description</t>
  </si>
  <si>
    <t xml:space="preserve">SKU </t>
  </si>
  <si>
    <t>Quantity</t>
  </si>
  <si>
    <t>Item #</t>
  </si>
  <si>
    <t>Reference Designator</t>
  </si>
  <si>
    <t>Manufacturer Part #</t>
  </si>
  <si>
    <t>Vendor</t>
  </si>
  <si>
    <t>Manufacturer (opt.)</t>
  </si>
  <si>
    <t>Do Not Place</t>
  </si>
  <si>
    <t>Price (opt.)</t>
  </si>
  <si>
    <t>Digikey</t>
  </si>
  <si>
    <t>40-pin Ribbon Connector</t>
  </si>
  <si>
    <t>Samtec Inc.</t>
  </si>
  <si>
    <t>CONN HEADER SMD 40POS 1.27MM</t>
  </si>
  <si>
    <t>SAM9922-ND</t>
  </si>
  <si>
    <t>Product Link</t>
  </si>
  <si>
    <t>https://www.digikey.com/en/products/detail/samtec-inc/SHF-120-01-L-D-SM/6678659</t>
  </si>
  <si>
    <t>Total Cost:</t>
  </si>
  <si>
    <t>U1</t>
  </si>
  <si>
    <t>AISC110C Image Sensor</t>
  </si>
  <si>
    <t>https://www.digikey.com/en/products/detail/aistorm-inc/AISC110C/26666752</t>
  </si>
  <si>
    <t>AISC110C</t>
  </si>
  <si>
    <t>4798-AISC110CCT-ND</t>
  </si>
  <si>
    <t>J1, J2</t>
  </si>
  <si>
    <t>J3</t>
  </si>
  <si>
    <t>16-pin right-angle header</t>
  </si>
  <si>
    <t>Sullins Connector Solutions</t>
  </si>
  <si>
    <t>SFH11-PBPC-D08-RA-BK</t>
  </si>
  <si>
    <t>S9204-ND</t>
  </si>
  <si>
    <t>https://www.digikey.com/en/products/detail/sullins-connector-solutions/SFH11-PBPC-D08-RA-BK/1990097</t>
  </si>
  <si>
    <t>2x shottky diode</t>
  </si>
  <si>
    <t>BAS40-04-E3-08</t>
  </si>
  <si>
    <t>Vishay Semiconductor</t>
  </si>
  <si>
    <t>BAS40-04-E3-08CT-ND</t>
  </si>
  <si>
    <t>https://www.digikey.com/en/products/detail/vishay-general-semiconductor-diodes-division/BAS40-04-E3-08/3104412</t>
  </si>
  <si>
    <t>Total Cost</t>
  </si>
  <si>
    <t>CR1</t>
  </si>
  <si>
    <t>AIStorm</t>
  </si>
  <si>
    <t>C1</t>
  </si>
  <si>
    <t>1uF X7R capacitor</t>
  </si>
  <si>
    <t>Samsung</t>
  </si>
  <si>
    <t>CL10B105KP8NFNC</t>
  </si>
  <si>
    <t>https://www.digikey.com/en/products/detail/samsung-electro-mechanics/CL10B105KP8NFNC/3887603</t>
  </si>
  <si>
    <t>C2,C4,C5,C6</t>
  </si>
  <si>
    <t>2.2uF X7R capacitor</t>
  </si>
  <si>
    <t>1276-1945-1-ND</t>
  </si>
  <si>
    <t>C3</t>
  </si>
  <si>
    <t>220nF X7R capacitor</t>
  </si>
  <si>
    <t>CL10B224KO8NNNC</t>
  </si>
  <si>
    <t>1276-1112-1-ND</t>
  </si>
  <si>
    <t>https://www.digikey.com/en/products/detail/samsung-electro-mechanics/CL10B224KO8NNNC/3886770</t>
  </si>
  <si>
    <t>D1</t>
  </si>
  <si>
    <t>indicator LED</t>
  </si>
  <si>
    <t>LTST-C190GKT</t>
  </si>
  <si>
    <t>Lite-On</t>
  </si>
  <si>
    <t>160-LTST-C190GKTCT-ND</t>
  </si>
  <si>
    <t>https://www.digikey.com/en/products/detail/liteon/LTST-C190GKT/269230</t>
  </si>
  <si>
    <t>R1</t>
  </si>
  <si>
    <t>10kΩ pull-down resistor</t>
  </si>
  <si>
    <t>Panasonic</t>
  </si>
  <si>
    <t>ERJ-3EKF1002V</t>
  </si>
  <si>
    <t>P10.0KHCT-ND</t>
  </si>
  <si>
    <t>https://www.digikey.com/en/products/detail/panasonic-industry/ERJ-3EKF1002V/196066</t>
  </si>
  <si>
    <t>Note: Items 8,9 avaliable in parts room</t>
  </si>
  <si>
    <t>N/A</t>
  </si>
  <si>
    <t>X</t>
  </si>
  <si>
    <t>2.54cm ribbon cable</t>
  </si>
  <si>
    <t>FFSD-20-D-01.00-01-N</t>
  </si>
  <si>
    <t>FFSD-20-D-01.00-01-N-ND</t>
  </si>
  <si>
    <t>https://www.digikey.com/en/products/detail/samtec-inc/FFSD-20-D-01-00-01-N/7238297</t>
  </si>
  <si>
    <t>Note: Item 10 is shared across sensor-ribbon &amp;&amp; ribbon-fmc board</t>
  </si>
  <si>
    <t>CL10B225KP8NFNC</t>
  </si>
  <si>
    <t>1276-2016-1-ND</t>
  </si>
  <si>
    <t>https://www.digikey.com/en/products/detail/samsung-electro-mechanics/CL10B225KP8NFNC/3887674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</si>
</sst>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sz val="10"/>
      <color indexed="8"/>
      <name val="Segoe UI"/>
      <family val="2"/>
    </font>
    <font>
      <sz val="10"/>
      <color indexed="11"/>
      <name val="Calibri"/>
      <family val="2"/>
    </font>
    <font>
      <sz val="10"/>
      <color indexed="8"/>
      <name val="Calibri"/>
      <family val="2"/>
    </font>
    <font>
      <sz val="8"/>
      <name val="Calibri"/>
    </font>
    <font>
      <u/>
      <sz val="11"/>
      <color theme="10"/>
      <name val="Calibri"/>
    </font>
    <font>
      <u/>
      <sz val="10"/>
      <color theme="10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 applyNumberFormat="0" applyFill="0" applyBorder="0" applyProtection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NumberFormat="1"/>
    <xf numFmtId="0" fontId="6" fillId="3" borderId="5" xfId="0" applyFont="1" applyFill="1" applyBorder="1" applyAlignment="1">
      <alignment horizontal="left"/>
    </xf>
    <xf numFmtId="49" fontId="5" fillId="3" borderId="6" xfId="0" applyNumberFormat="1" applyFont="1" applyFill="1" applyBorder="1"/>
    <xf numFmtId="0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0" fontId="7" fillId="3" borderId="7" xfId="0" applyFont="1" applyFill="1" applyBorder="1"/>
    <xf numFmtId="0" fontId="7" fillId="3" borderId="10" xfId="0" applyFont="1" applyFill="1" applyBorder="1"/>
    <xf numFmtId="0" fontId="3" fillId="2" borderId="1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left"/>
    </xf>
    <xf numFmtId="49" fontId="5" fillId="4" borderId="7" xfId="0" applyNumberFormat="1" applyFont="1" applyFill="1" applyBorder="1"/>
    <xf numFmtId="0" fontId="5" fillId="4" borderId="7" xfId="0" applyNumberFormat="1" applyFont="1" applyFill="1" applyBorder="1"/>
    <xf numFmtId="0" fontId="7" fillId="4" borderId="7" xfId="0" applyNumberFormat="1" applyFont="1" applyFill="1" applyBorder="1"/>
    <xf numFmtId="0" fontId="7" fillId="4" borderId="10" xfId="0" applyNumberFormat="1" applyFont="1" applyFill="1" applyBorder="1"/>
    <xf numFmtId="0" fontId="4" fillId="2" borderId="0" xfId="0" applyNumberFormat="1" applyFont="1" applyFill="1"/>
    <xf numFmtId="0" fontId="6" fillId="3" borderId="7" xfId="0" applyFont="1" applyFill="1" applyBorder="1" applyAlignment="1">
      <alignment horizontal="left"/>
    </xf>
    <xf numFmtId="0" fontId="5" fillId="3" borderId="7" xfId="0" applyNumberFormat="1" applyFont="1" applyFill="1" applyBorder="1"/>
    <xf numFmtId="0" fontId="7" fillId="3" borderId="7" xfId="0" applyNumberFormat="1" applyFont="1" applyFill="1" applyBorder="1"/>
    <xf numFmtId="0" fontId="7" fillId="3" borderId="10" xfId="0" applyNumberFormat="1" applyFont="1" applyFill="1" applyBorder="1"/>
    <xf numFmtId="0" fontId="7" fillId="4" borderId="10" xfId="0" applyFont="1" applyFill="1" applyBorder="1"/>
    <xf numFmtId="0" fontId="10" fillId="3" borderId="10" xfId="1" applyNumberFormat="1" applyFont="1" applyFill="1" applyBorder="1"/>
    <xf numFmtId="0" fontId="11" fillId="0" borderId="0" xfId="0" applyNumberFormat="1" applyFont="1"/>
    <xf numFmtId="0" fontId="9" fillId="4" borderId="10" xfId="1" applyNumberFormat="1" applyFill="1" applyBorder="1"/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egoe U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3" tint="0.59999389629810485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B97034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6D9EC6-9A36-497E-909E-0FB86FDEA8CC}" name="BOM" displayName="BOM" ref="A1:L11" totalsRowShown="0" headerRowDxfId="3" tableBorderDxfId="2">
  <autoFilter ref="A1:L11" xr:uid="{896D9EC6-9A36-497E-909E-0FB86FDEA8CC}"/>
  <tableColumns count="12">
    <tableColumn id="1" xr3:uid="{B45EB6FF-A6E4-4358-8790-778D4815551D}" name="Item #"/>
    <tableColumn id="2" xr3:uid="{EEB1A5F8-BF52-40EB-BE4A-598BA603C4BE}" name="Reference Designator"/>
    <tableColumn id="3" xr3:uid="{33BD702C-D9BB-40A4-A50A-256CF9BF0A20}" name="Quantity"/>
    <tableColumn id="4" xr3:uid="{943330C5-2014-443C-B222-6F921DFC3A21}" name="Do Not Place"/>
    <tableColumn id="5" xr3:uid="{48C18276-1FD4-4CD2-A708-FFC66CB0963C}" name="Description"/>
    <tableColumn id="6" xr3:uid="{25702A11-51D1-4B81-95D6-7AEEEAD08B54}" name="Manufacturer (opt.)"/>
    <tableColumn id="7" xr3:uid="{34583D2E-ED06-4935-A391-C467C289598C}" name="Manufacturer Part #"/>
    <tableColumn id="8" xr3:uid="{817F2719-E217-4C25-8E10-C98BE8F396E6}" name="SKU "/>
    <tableColumn id="9" xr3:uid="{185583FC-B55E-4597-84B5-B225DBC24530}" name="Vendor" dataDxfId="1"/>
    <tableColumn id="10" xr3:uid="{A38C8587-BEF5-4A8A-9057-0EA023737C17}" name="Price (opt.)"/>
    <tableColumn id="13" xr3:uid="{67E41AF2-0E8E-44C1-8550-360F22557ADE}" name="Total Cost" dataDxfId="0">
      <calculatedColumnFormula>PRODUCT(BOM[[#This Row],[Price (opt.)]],BOM[[#This Row],[Quantity]])</calculatedColumnFormula>
    </tableColumn>
    <tableColumn id="11" xr3:uid="{696BD106-794F-4CC9-8221-401BBDB56EF7}" name="Product 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hèm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samtec-inc/SHF-120-01-L-D-SM/6678659" TargetMode="External"/><Relationship Id="rId1" Type="http://schemas.openxmlformats.org/officeDocument/2006/relationships/hyperlink" Target="https://www.digikey.com/en/products/detail/samsung-electro-mechanics/CL10B105KP8NFNC/388760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4"/>
  <sheetViews>
    <sheetView showGridLines="0" tabSelected="1" workbookViewId="0">
      <selection activeCell="H7" sqref="H7"/>
    </sheetView>
  </sheetViews>
  <sheetFormatPr defaultColWidth="26" defaultRowHeight="15" customHeight="1" x14ac:dyDescent="0.35"/>
  <cols>
    <col min="1" max="1" width="12.90625" style="1" customWidth="1"/>
    <col min="2" max="2" width="26" style="1" customWidth="1"/>
    <col min="3" max="3" width="15.7265625" style="1" customWidth="1"/>
    <col min="4" max="4" width="16.6328125" style="1" customWidth="1"/>
    <col min="5" max="5" width="21.90625" style="1" customWidth="1"/>
    <col min="6" max="6" width="34" style="1" customWidth="1"/>
    <col min="7" max="7" width="43.453125" style="1" customWidth="1"/>
    <col min="8" max="8" width="29" style="1" customWidth="1"/>
    <col min="9" max="9" width="16.54296875" style="1" customWidth="1"/>
    <col min="10" max="11" width="12.54296875" style="1" customWidth="1"/>
    <col min="12" max="12" width="91" style="1" customWidth="1"/>
    <col min="13" max="257" width="26" style="1" customWidth="1"/>
  </cols>
  <sheetData>
    <row r="1" spans="1:258" ht="15" customHeight="1" x14ac:dyDescent="0.35">
      <c r="A1" s="9" t="s">
        <v>3</v>
      </c>
      <c r="B1" s="10" t="s">
        <v>4</v>
      </c>
      <c r="C1" s="10" t="s">
        <v>2</v>
      </c>
      <c r="D1" s="10" t="s">
        <v>8</v>
      </c>
      <c r="E1" s="11" t="s">
        <v>0</v>
      </c>
      <c r="F1" s="11" t="s">
        <v>7</v>
      </c>
      <c r="G1" s="10" t="s">
        <v>5</v>
      </c>
      <c r="H1" s="12" t="s">
        <v>1</v>
      </c>
      <c r="I1" s="13" t="s">
        <v>6</v>
      </c>
      <c r="J1" s="14" t="s">
        <v>9</v>
      </c>
      <c r="K1" s="15" t="s">
        <v>35</v>
      </c>
      <c r="L1" s="15" t="s">
        <v>15</v>
      </c>
      <c r="IX1" s="1"/>
    </row>
    <row r="2" spans="1:258" ht="15" customHeight="1" x14ac:dyDescent="0.45">
      <c r="A2" s="2">
        <v>1</v>
      </c>
      <c r="B2" s="3" t="s">
        <v>18</v>
      </c>
      <c r="C2" s="4">
        <v>1</v>
      </c>
      <c r="D2" s="4"/>
      <c r="E2" s="3" t="s">
        <v>19</v>
      </c>
      <c r="F2" s="3" t="s">
        <v>37</v>
      </c>
      <c r="G2" s="3" t="s">
        <v>21</v>
      </c>
      <c r="H2" s="5" t="s">
        <v>22</v>
      </c>
      <c r="I2" s="6" t="s">
        <v>10</v>
      </c>
      <c r="J2" s="7">
        <v>6.65</v>
      </c>
      <c r="K2" s="8">
        <f>PRODUCT(BOM[[#This Row],[Price (opt.)]],BOM[[#This Row],[Quantity]])</f>
        <v>6.65</v>
      </c>
      <c r="L2" s="8" t="s">
        <v>20</v>
      </c>
      <c r="IX2" s="1"/>
    </row>
    <row r="3" spans="1:258" ht="15" customHeight="1" x14ac:dyDescent="0.45">
      <c r="A3" s="16">
        <v>2</v>
      </c>
      <c r="B3" s="17" t="s">
        <v>23</v>
      </c>
      <c r="C3" s="18">
        <v>2</v>
      </c>
      <c r="D3" s="18"/>
      <c r="E3" s="17" t="s">
        <v>11</v>
      </c>
      <c r="F3" s="17" t="s">
        <v>12</v>
      </c>
      <c r="G3" s="17" t="s">
        <v>13</v>
      </c>
      <c r="H3" s="17" t="s">
        <v>14</v>
      </c>
      <c r="I3" s="17" t="s">
        <v>10</v>
      </c>
      <c r="J3" s="19">
        <v>4.42</v>
      </c>
      <c r="K3" s="26">
        <f>PRODUCT(BOM[[#This Row],[Price (opt.)]],BOM[[#This Row],[Quantity]])</f>
        <v>8.84</v>
      </c>
      <c r="L3" s="29" t="s">
        <v>16</v>
      </c>
      <c r="IX3" s="1"/>
    </row>
    <row r="4" spans="1:258" ht="15" customHeight="1" x14ac:dyDescent="0.45">
      <c r="A4" s="22">
        <v>3</v>
      </c>
      <c r="B4" s="6" t="s">
        <v>24</v>
      </c>
      <c r="C4" s="23">
        <v>1</v>
      </c>
      <c r="D4" s="23"/>
      <c r="E4" s="6" t="s">
        <v>25</v>
      </c>
      <c r="F4" s="6" t="s">
        <v>26</v>
      </c>
      <c r="G4" s="6" t="s">
        <v>27</v>
      </c>
      <c r="H4" s="6" t="s">
        <v>28</v>
      </c>
      <c r="I4" s="6" t="s">
        <v>10</v>
      </c>
      <c r="J4" s="24">
        <v>1.29</v>
      </c>
      <c r="K4" s="8">
        <f>PRODUCT(BOM[[#This Row],[Price (opt.)]],BOM[[#This Row],[Quantity]])</f>
        <v>1.29</v>
      </c>
      <c r="L4" s="25" t="s">
        <v>29</v>
      </c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</row>
    <row r="5" spans="1:258" ht="15" customHeight="1" x14ac:dyDescent="0.45">
      <c r="A5" s="16">
        <v>4</v>
      </c>
      <c r="B5" s="17" t="s">
        <v>36</v>
      </c>
      <c r="C5" s="18">
        <v>1</v>
      </c>
      <c r="D5" s="18"/>
      <c r="E5" s="17" t="s">
        <v>30</v>
      </c>
      <c r="F5" s="17" t="s">
        <v>32</v>
      </c>
      <c r="G5" s="17" t="s">
        <v>31</v>
      </c>
      <c r="H5" s="17" t="s">
        <v>33</v>
      </c>
      <c r="I5" s="17" t="s">
        <v>10</v>
      </c>
      <c r="J5" s="19">
        <v>0.44</v>
      </c>
      <c r="K5" s="26">
        <f>PRODUCT(BOM[[#This Row],[Price (opt.)]],BOM[[#This Row],[Quantity]])</f>
        <v>0.44</v>
      </c>
      <c r="L5" s="20" t="s">
        <v>34</v>
      </c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</row>
    <row r="6" spans="1:258" ht="15" customHeight="1" x14ac:dyDescent="0.45">
      <c r="A6" s="22">
        <v>5</v>
      </c>
      <c r="B6" s="6" t="s">
        <v>38</v>
      </c>
      <c r="C6" s="23">
        <v>1</v>
      </c>
      <c r="D6" s="23"/>
      <c r="E6" s="6" t="s">
        <v>39</v>
      </c>
      <c r="F6" s="6" t="s">
        <v>40</v>
      </c>
      <c r="G6" s="6" t="s">
        <v>41</v>
      </c>
      <c r="H6" s="6" t="s">
        <v>45</v>
      </c>
      <c r="I6" s="6" t="s">
        <v>10</v>
      </c>
      <c r="J6" s="24">
        <v>0.1</v>
      </c>
      <c r="K6" s="8">
        <f>PRODUCT(BOM[[#This Row],[Price (opt.)]],BOM[[#This Row],[Quantity]])</f>
        <v>0.1</v>
      </c>
      <c r="L6" s="27" t="s">
        <v>42</v>
      </c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</row>
    <row r="7" spans="1:258" ht="15" customHeight="1" x14ac:dyDescent="0.45">
      <c r="A7" s="16">
        <v>6</v>
      </c>
      <c r="B7" s="17" t="s">
        <v>43</v>
      </c>
      <c r="C7" s="18">
        <v>4</v>
      </c>
      <c r="D7" s="18"/>
      <c r="E7" s="17" t="s">
        <v>44</v>
      </c>
      <c r="F7" s="17" t="s">
        <v>40</v>
      </c>
      <c r="G7" s="17" t="s">
        <v>71</v>
      </c>
      <c r="H7" s="17" t="s">
        <v>72</v>
      </c>
      <c r="I7" s="17" t="s">
        <v>10</v>
      </c>
      <c r="J7" s="19">
        <v>0.14000000000000001</v>
      </c>
      <c r="K7" s="26">
        <f>PRODUCT(BOM[[#This Row],[Price (opt.)]],BOM[[#This Row],[Quantity]])</f>
        <v>0.56000000000000005</v>
      </c>
      <c r="L7" s="20" t="s">
        <v>73</v>
      </c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</row>
    <row r="8" spans="1:258" ht="15" customHeight="1" x14ac:dyDescent="0.45">
      <c r="A8" s="22">
        <v>7</v>
      </c>
      <c r="B8" s="6" t="s">
        <v>46</v>
      </c>
      <c r="C8" s="23">
        <v>1</v>
      </c>
      <c r="D8" s="23"/>
      <c r="E8" s="6" t="s">
        <v>47</v>
      </c>
      <c r="F8" s="6" t="s">
        <v>40</v>
      </c>
      <c r="G8" s="6" t="s">
        <v>48</v>
      </c>
      <c r="H8" s="6" t="s">
        <v>49</v>
      </c>
      <c r="I8" s="6" t="s">
        <v>10</v>
      </c>
      <c r="J8" s="24">
        <v>0.1</v>
      </c>
      <c r="K8" s="8">
        <f>PRODUCT(BOM[[#This Row],[Price (opt.)]],BOM[[#This Row],[Quantity]])</f>
        <v>0.1</v>
      </c>
      <c r="L8" s="27" t="s">
        <v>50</v>
      </c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</row>
    <row r="9" spans="1:258" ht="15" customHeight="1" x14ac:dyDescent="0.45">
      <c r="A9" s="16">
        <v>8</v>
      </c>
      <c r="B9" s="17" t="s">
        <v>51</v>
      </c>
      <c r="C9" s="18">
        <v>1</v>
      </c>
      <c r="D9" s="18"/>
      <c r="E9" s="17" t="s">
        <v>52</v>
      </c>
      <c r="F9" s="17" t="s">
        <v>54</v>
      </c>
      <c r="G9" s="17" t="s">
        <v>53</v>
      </c>
      <c r="H9" s="17" t="s">
        <v>55</v>
      </c>
      <c r="I9" s="17" t="s">
        <v>10</v>
      </c>
      <c r="J9" s="19">
        <v>0.14000000000000001</v>
      </c>
      <c r="K9" s="26">
        <f>PRODUCT(BOM[[#This Row],[Price (opt.)]],BOM[[#This Row],[Quantity]])</f>
        <v>0.14000000000000001</v>
      </c>
      <c r="L9" s="20" t="s">
        <v>56</v>
      </c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</row>
    <row r="10" spans="1:258" ht="15" customHeight="1" x14ac:dyDescent="0.45">
      <c r="A10" s="22">
        <v>9</v>
      </c>
      <c r="B10" s="6" t="s">
        <v>57</v>
      </c>
      <c r="C10" s="23">
        <v>1</v>
      </c>
      <c r="D10" s="23"/>
      <c r="E10" s="6" t="s">
        <v>58</v>
      </c>
      <c r="F10" s="6" t="s">
        <v>59</v>
      </c>
      <c r="G10" s="6" t="s">
        <v>60</v>
      </c>
      <c r="H10" s="6" t="s">
        <v>61</v>
      </c>
      <c r="I10" s="6" t="s">
        <v>10</v>
      </c>
      <c r="J10" s="24">
        <v>0.1</v>
      </c>
      <c r="K10" s="8">
        <f>PRODUCT(BOM[[#This Row],[Price (opt.)]],BOM[[#This Row],[Quantity]])</f>
        <v>0.1</v>
      </c>
      <c r="L10" s="25" t="s">
        <v>62</v>
      </c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</row>
    <row r="11" spans="1:258" ht="15" customHeight="1" x14ac:dyDescent="0.45">
      <c r="A11" s="22">
        <v>10</v>
      </c>
      <c r="B11" s="6" t="s">
        <v>64</v>
      </c>
      <c r="C11" s="23">
        <v>2</v>
      </c>
      <c r="D11" s="23" t="s">
        <v>65</v>
      </c>
      <c r="E11" s="6" t="s">
        <v>66</v>
      </c>
      <c r="F11" s="6" t="s">
        <v>12</v>
      </c>
      <c r="G11" s="6" t="s">
        <v>67</v>
      </c>
      <c r="H11" s="6" t="s">
        <v>68</v>
      </c>
      <c r="I11" s="6" t="s">
        <v>10</v>
      </c>
      <c r="J11" s="24">
        <v>18.739999999999998</v>
      </c>
      <c r="K11" s="8">
        <f>PRODUCT(BOM[[#This Row],[Price (opt.)]],BOM[[#This Row],[Quantity]])</f>
        <v>37.479999999999997</v>
      </c>
      <c r="L11" s="25" t="s">
        <v>69</v>
      </c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</row>
    <row r="12" spans="1:258" ht="15" customHeight="1" x14ac:dyDescent="0.35"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</row>
    <row r="13" spans="1:258" ht="15" customHeight="1" x14ac:dyDescent="0.35">
      <c r="A13" s="28" t="s">
        <v>63</v>
      </c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</row>
    <row r="14" spans="1:258" ht="15" customHeight="1" x14ac:dyDescent="0.35">
      <c r="A14" s="28" t="s">
        <v>70</v>
      </c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</row>
    <row r="15" spans="1:258" ht="15" customHeight="1" x14ac:dyDescent="0.35"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</row>
    <row r="16" spans="1:258" ht="15" customHeight="1" x14ac:dyDescent="0.35"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</row>
    <row r="17" spans="1:257" ht="15" customHeight="1" x14ac:dyDescent="0.35">
      <c r="A17" s="21" t="s">
        <v>17</v>
      </c>
      <c r="B17" s="21">
        <f>SUM(BOM[Total Cost])</f>
        <v>55.7</v>
      </c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</row>
    <row r="18" spans="1:257" ht="15" customHeight="1" x14ac:dyDescent="0.35"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</row>
    <row r="19" spans="1:257" ht="15" customHeight="1" x14ac:dyDescent="0.35"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</row>
    <row r="20" spans="1:257" ht="15" customHeight="1" x14ac:dyDescent="0.35"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</row>
    <row r="21" spans="1:257" ht="15" customHeight="1" x14ac:dyDescent="0.35"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</row>
    <row r="22" spans="1:257" ht="15" customHeight="1" x14ac:dyDescent="0.35"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</row>
    <row r="23" spans="1:257" ht="15" customHeight="1" x14ac:dyDescent="0.35"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</row>
    <row r="24" spans="1:257" ht="15" customHeight="1" x14ac:dyDescent="0.35"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</row>
  </sheetData>
  <phoneticPr fontId="8" type="noConversion"/>
  <hyperlinks>
    <hyperlink ref="L6" r:id="rId1" xr:uid="{753887DD-3777-4C5A-A975-EBBD8428A7F7}"/>
    <hyperlink ref="L3" r:id="rId2" xr:uid="{21F1D061-82EA-4045-B3A1-C8058FCC7852}"/>
  </hyperlinks>
  <pageMargins left="0.7" right="0.7" top="0.75" bottom="0.75" header="0.3" footer="0.3"/>
  <pageSetup orientation="portrait" r:id="rId3"/>
  <headerFooter>
    <oddFooter>&amp;C&amp;"Helvetica,Regular"&amp;12&amp;K000000&amp;P</oddFooter>
  </headerFooter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FMC-RIBBON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Tourbez</dc:creator>
  <cp:lastModifiedBy>Naythan Ramos</cp:lastModifiedBy>
  <dcterms:created xsi:type="dcterms:W3CDTF">2018-02-27T10:57:19Z</dcterms:created>
  <dcterms:modified xsi:type="dcterms:W3CDTF">2026-10-14T19:52:07Z</dcterms:modified>
</cp:coreProperties>
</file>